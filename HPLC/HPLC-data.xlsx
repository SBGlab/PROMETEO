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Nextcloud\Documents\SBG\MSCA - Marie Curie\Module 4 - Toggle\Paper\Draft14\"/>
    </mc:Choice>
  </mc:AlternateContent>
  <xr:revisionPtr revIDLastSave="0" documentId="13_ncr:1_{555EA6B8-1C88-413A-A975-DB69F5CE41D6}" xr6:coauthVersionLast="47" xr6:coauthVersionMax="47" xr10:uidLastSave="{00000000-0000-0000-0000-000000000000}"/>
  <bookViews>
    <workbookView xWindow="28680" yWindow="-120" windowWidth="29040" windowHeight="15720" xr2:uid="{86FA7741-ACBE-45C9-95B6-464CDB7E4B46}"/>
  </bookViews>
  <sheets>
    <sheet name="Pattern Curves" sheetId="4" r:id="rId1"/>
    <sheet name="Results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" i="4" l="1"/>
</calcChain>
</file>

<file path=xl/sharedStrings.xml><?xml version="1.0" encoding="utf-8"?>
<sst xmlns="http://schemas.openxmlformats.org/spreadsheetml/2006/main" count="83" uniqueCount="31">
  <si>
    <t>Area</t>
  </si>
  <si>
    <t>Benzidine</t>
  </si>
  <si>
    <t>CR</t>
  </si>
  <si>
    <t>Biphenyl</t>
  </si>
  <si>
    <t>Naphthalen</t>
  </si>
  <si>
    <t>WT</t>
  </si>
  <si>
    <t>TSCR(I)</t>
  </si>
  <si>
    <t>TSCR(II)</t>
  </si>
  <si>
    <t>TSECO(II)</t>
  </si>
  <si>
    <t>TSECO(I)</t>
  </si>
  <si>
    <t>ESECO(III)</t>
  </si>
  <si>
    <t>Condition</t>
  </si>
  <si>
    <t>Strain</t>
  </si>
  <si>
    <t>Congo Red</t>
  </si>
  <si>
    <t xml:space="preserve">aTc (0.00025 mM) </t>
  </si>
  <si>
    <t>Nar (1 mM)</t>
  </si>
  <si>
    <t xml:space="preserve">No ind. </t>
  </si>
  <si>
    <t>CR µM</t>
  </si>
  <si>
    <t>Time</t>
  </si>
  <si>
    <t>Biphenyl µM</t>
  </si>
  <si>
    <t>Benzidine µM</t>
  </si>
  <si>
    <t>Naphtalene µM</t>
  </si>
  <si>
    <t xml:space="preserve">Figure 5B data: Area </t>
  </si>
  <si>
    <t>Sample Time (h)</t>
  </si>
  <si>
    <t>No Ind.</t>
  </si>
  <si>
    <t>Nar (340 µM )</t>
  </si>
  <si>
    <t>Nar (600 µM )</t>
  </si>
  <si>
    <t>Figure 5C data:Area</t>
  </si>
  <si>
    <t>Figure 5E data:Area</t>
  </si>
  <si>
    <t>Wavelength: 495 nm</t>
  </si>
  <si>
    <t>Wavelength: 254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</si>
</sst>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'Pattern Curves'!$C$3</c:f>
              <c:strCache>
                <c:ptCount val="1"/>
                <c:pt idx="0">
                  <c:v>CR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'Pattern Curves'!$D$4:$D$9</c:f>
              <c:numCache>
                <c:formatCode>General</c:formatCode>
                <c:ptCount val="6"/>
                <c:pt idx="0">
                  <c:v>334.7</c:v>
                </c:pt>
                <c:pt idx="1">
                  <c:v>695.2</c:v>
                </c:pt>
                <c:pt idx="2">
                  <c:v>1319.9</c:v>
                </c:pt>
                <c:pt idx="3">
                  <c:v>1617.2</c:v>
                </c:pt>
                <c:pt idx="4">
                  <c:v>2243</c:v>
                </c:pt>
                <c:pt idx="5">
                  <c:v>9728.7000000000007</c:v>
                </c:pt>
              </c:numCache>
            </c:numRef>
          </c:xVal>
          <c:yVal>
            <c:numRef>
              <c:f>'Pattern Curves'!$C$4:$C$9</c:f>
              <c:numCache>
                <c:formatCode>General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BA-435F-9599-77F1ACAD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932975"/>
        <c:axId val="1981927983"/>
      </c:scatterChart>
      <c:valAx>
        <c:axId val="198193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1927983"/>
        <c:crosses val="autoZero"/>
        <c:crossBetween val="midCat"/>
      </c:valAx>
      <c:valAx>
        <c:axId val="19819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193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Benzidine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'Pattern Curves'!$O$3</c:f>
              <c:strCache>
                <c:ptCount val="1"/>
                <c:pt idx="0">
                  <c:v>Benzidine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'Pattern Curves'!$P$4:$P$8</c:f>
              <c:numCache>
                <c:formatCode>General</c:formatCode>
                <c:ptCount val="5"/>
                <c:pt idx="0">
                  <c:v>23.3</c:v>
                </c:pt>
                <c:pt idx="1">
                  <c:v>116.2</c:v>
                </c:pt>
                <c:pt idx="2">
                  <c:v>298</c:v>
                </c:pt>
                <c:pt idx="3">
                  <c:v>422.2</c:v>
                </c:pt>
                <c:pt idx="4">
                  <c:v>545</c:v>
                </c:pt>
              </c:numCache>
            </c:numRef>
          </c:xVal>
          <c:yVal>
            <c:numRef>
              <c:f>'Pattern Curves'!$O$4:$O$8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49-4778-9401-33CB8A1D7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326303"/>
        <c:axId val="531325887"/>
      </c:scatterChart>
      <c:valAx>
        <c:axId val="53132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1325887"/>
        <c:crosses val="autoZero"/>
        <c:crossBetween val="midCat"/>
      </c:valAx>
      <c:valAx>
        <c:axId val="5313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132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9441108545034641"/>
          <c:w val="0.84586351706036744"/>
          <c:h val="0.721532250731937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'Pattern Curves'!$T$3</c:f>
              <c:strCache>
                <c:ptCount val="1"/>
                <c:pt idx="0">
                  <c:v>Naphtalene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'Pattern Curves'!$U$4:$U$8</c:f>
              <c:numCache>
                <c:formatCode>General</c:formatCode>
                <c:ptCount val="5"/>
                <c:pt idx="0">
                  <c:v>21166</c:v>
                </c:pt>
                <c:pt idx="1">
                  <c:v>35676</c:v>
                </c:pt>
                <c:pt idx="2">
                  <c:v>57697</c:v>
                </c:pt>
                <c:pt idx="3">
                  <c:v>75032</c:v>
                </c:pt>
                <c:pt idx="4">
                  <c:v>85965</c:v>
                </c:pt>
              </c:numCache>
            </c:numRef>
          </c:xVal>
          <c:yVal>
            <c:numRef>
              <c:f>'Pattern Curves'!$T$4:$T$8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2-4A74-A0CC-6902D63D8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508255"/>
        <c:axId val="563507839"/>
      </c:scatterChart>
      <c:valAx>
        <c:axId val="56350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3507839"/>
        <c:crosses val="autoZero"/>
        <c:crossBetween val="midCat"/>
      </c:valAx>
      <c:valAx>
        <c:axId val="56350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350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'Pattern Curves'!$I$3</c:f>
              <c:strCache>
                <c:ptCount val="1"/>
                <c:pt idx="0">
                  <c:v>Biphenyl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247681539807523"/>
                  <c:y val="4.30070375152297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'Pattern Curves'!$J$4:$J$8</c:f>
              <c:numCache>
                <c:formatCode>General</c:formatCode>
                <c:ptCount val="5"/>
                <c:pt idx="0">
                  <c:v>6974.1</c:v>
                </c:pt>
                <c:pt idx="1">
                  <c:v>8424.1</c:v>
                </c:pt>
                <c:pt idx="2">
                  <c:v>12805.8</c:v>
                </c:pt>
                <c:pt idx="3">
                  <c:v>16246.2</c:v>
                </c:pt>
                <c:pt idx="4">
                  <c:v>18584.900000000001</c:v>
                </c:pt>
              </c:numCache>
            </c:numRef>
          </c:xVal>
          <c:yVal>
            <c:numRef>
              <c:f>'Pattern Curves'!$I$4:$I$8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1E-4A6D-90A5-12776FFCD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978687"/>
        <c:axId val="564979103"/>
      </c:scatterChart>
      <c:valAx>
        <c:axId val="56497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979103"/>
        <c:crosses val="autoZero"/>
        <c:crossBetween val="midCat"/>
      </c:valAx>
      <c:valAx>
        <c:axId val="56497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97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379413</xdr:colOff>
      <xdr:row>12</xdr:row>
      <xdr:rowOff>1586</xdr:rowOff>
    </xdr:from>
    <xdr:to>
      <xdr:col>6</xdr:col>
      <xdr:colOff>28575</xdr:colOff>
      <xdr:row>29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304061-969D-4F9B-AAEC-90449D8AF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12</xdr:row>
      <xdr:rowOff>1587</xdr:rowOff>
    </xdr:from>
    <xdr:to>
      <xdr:col>17</xdr:col>
      <xdr:colOff>673100</xdr:colOff>
      <xdr:row>28</xdr:row>
      <xdr:rowOff>6350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256866-7B18-468C-9FD7-57BF0098E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382587</xdr:colOff>
      <xdr:row>11</xdr:row>
      <xdr:rowOff>169862</xdr:rowOff>
    </xdr:from>
    <xdr:to>
      <xdr:col>24</xdr:col>
      <xdr:colOff>382587</xdr:colOff>
      <xdr:row>27</xdr:row>
      <xdr:rowOff>30162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D6C3EE-4D62-43F2-AC5F-218D2477A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407987</xdr:colOff>
      <xdr:row>12</xdr:row>
      <xdr:rowOff>11111</xdr:rowOff>
    </xdr:from>
    <xdr:to>
      <xdr:col>11</xdr:col>
      <xdr:colOff>711200</xdr:colOff>
      <xdr:row>28</xdr:row>
      <xdr:rowOff>155574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FFCD879-7937-48E9-BE8B-FECEC0D65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\Nextcloud\Documents\SBG\MSCA%20-%20Marie%20Curie\Module%207%20-%20Dye%20Degradation\PatronCurves.xlsx" TargetMode="External"/><Relationship Id="rId1" Type="http://schemas.openxmlformats.org/officeDocument/2006/relationships/externalLinkPath" Target="/Users/marce/Nextcloud/Documents/SBG/MSCA%20-%20Marie%20Curie/Module%207%20-%20Dye%20Degradation/PatronCurv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">
          <cell r="C3" t="str">
            <v>Area</v>
          </cell>
          <cell r="I3" t="str">
            <v>Biphenyl µM</v>
          </cell>
          <cell r="O3" t="str">
            <v>Benzidine µM</v>
          </cell>
          <cell r="T3" t="str">
            <v>Naphtalene µM</v>
          </cell>
        </row>
        <row r="4">
          <cell r="C4">
            <v>334.7</v>
          </cell>
          <cell r="D4">
            <v>60</v>
          </cell>
          <cell r="I4">
            <v>10</v>
          </cell>
          <cell r="J4">
            <v>6974.1</v>
          </cell>
          <cell r="O4">
            <v>10</v>
          </cell>
          <cell r="P4">
            <v>23.3</v>
          </cell>
          <cell r="T4">
            <v>10</v>
          </cell>
          <cell r="U4">
            <v>21166</v>
          </cell>
        </row>
        <row r="5">
          <cell r="C5">
            <v>695.2</v>
          </cell>
          <cell r="D5">
            <v>80</v>
          </cell>
          <cell r="I5">
            <v>20</v>
          </cell>
          <cell r="J5">
            <v>8424.1</v>
          </cell>
          <cell r="O5">
            <v>20</v>
          </cell>
          <cell r="P5">
            <v>116.2</v>
          </cell>
          <cell r="T5">
            <v>20</v>
          </cell>
          <cell r="U5">
            <v>35676</v>
          </cell>
        </row>
        <row r="6">
          <cell r="C6">
            <v>776.3</v>
          </cell>
          <cell r="D6">
            <v>100</v>
          </cell>
          <cell r="I6">
            <v>50</v>
          </cell>
          <cell r="J6">
            <v>12805.8</v>
          </cell>
          <cell r="O6">
            <v>50</v>
          </cell>
          <cell r="P6">
            <v>298</v>
          </cell>
          <cell r="T6">
            <v>50</v>
          </cell>
          <cell r="U6">
            <v>57697</v>
          </cell>
        </row>
        <row r="7">
          <cell r="C7">
            <v>1178.5</v>
          </cell>
          <cell r="D7">
            <v>120</v>
          </cell>
          <cell r="I7">
            <v>75</v>
          </cell>
          <cell r="J7">
            <v>16246.2</v>
          </cell>
          <cell r="O7">
            <v>75</v>
          </cell>
          <cell r="P7">
            <v>422.2</v>
          </cell>
          <cell r="T7">
            <v>75</v>
          </cell>
          <cell r="U7">
            <v>75032</v>
          </cell>
        </row>
        <row r="8">
          <cell r="C8">
            <v>2243</v>
          </cell>
          <cell r="D8">
            <v>140</v>
          </cell>
          <cell r="I8">
            <v>100</v>
          </cell>
          <cell r="J8">
            <v>18584.900000000001</v>
          </cell>
          <cell r="O8">
            <v>100</v>
          </cell>
          <cell r="P8">
            <v>545</v>
          </cell>
          <cell r="T8">
            <v>100</v>
          </cell>
          <cell r="U8">
            <v>85965</v>
          </cell>
        </row>
        <row r="9">
          <cell r="C9">
            <v>9728.7000000000007</v>
          </cell>
          <cell r="D9">
            <v>500</v>
          </cell>
        </row>
        <row r="38">
          <cell r="B38" t="str">
            <v>CR µM</v>
          </cell>
        </row>
        <row r="39">
          <cell r="B39">
            <v>60</v>
          </cell>
          <cell r="C39">
            <v>334.7</v>
          </cell>
        </row>
        <row r="40">
          <cell r="B40">
            <v>80</v>
          </cell>
          <cell r="C40">
            <v>695.2</v>
          </cell>
        </row>
        <row r="41">
          <cell r="B41">
            <v>100</v>
          </cell>
          <cell r="C41">
            <v>1319.9</v>
          </cell>
        </row>
        <row r="42">
          <cell r="B42">
            <v>120</v>
          </cell>
          <cell r="C42">
            <v>1617.2</v>
          </cell>
        </row>
        <row r="43">
          <cell r="B43">
            <v>140</v>
          </cell>
          <cell r="C43">
            <v>2243</v>
          </cell>
        </row>
        <row r="44">
          <cell r="B44">
            <v>500</v>
          </cell>
          <cell r="C44">
            <v>9728.7000000000007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85BE-9B3B-4AF4-A743-AE3B7ABC9C17}">
  <dimension ref="B2:V16"/>
  <sheetViews>
    <sheetView tabSelected="1" workbookViewId="0">
      <selection activeCell="O30" sqref="O30"/>
    </sheetView>
  </sheetViews>
  <sheetFormatPr baseColWidth="10" defaultRowHeight="14.5" x14ac:dyDescent="0.35"/>
  <cols>
    <col min="6" max="6" width="12.6328125" bestFit="1" customWidth="1"/>
    <col min="9" max="9" width="13.26953125" customWidth="1"/>
    <col min="15" max="15" width="12.54296875" bestFit="1" customWidth="1"/>
    <col min="20" max="20" width="14" bestFit="1" customWidth="1"/>
  </cols>
  <sheetData>
    <row r="2" spans="2:22" ht="15" thickBot="1" x14ac:dyDescent="0.4"/>
    <row r="3" spans="2:22" ht="15" thickBot="1" x14ac:dyDescent="0.4">
      <c r="C3" s="13" t="s">
        <v>17</v>
      </c>
      <c r="D3" s="5" t="s">
        <v>0</v>
      </c>
      <c r="E3" s="4" t="s">
        <v>18</v>
      </c>
      <c r="F3" s="1"/>
      <c r="G3" s="1"/>
      <c r="I3" s="3" t="s">
        <v>19</v>
      </c>
      <c r="J3" s="5" t="s">
        <v>0</v>
      </c>
      <c r="K3" s="4" t="s">
        <v>18</v>
      </c>
      <c r="L3" s="1"/>
      <c r="M3" s="1"/>
      <c r="O3" s="3" t="s">
        <v>20</v>
      </c>
      <c r="P3" s="5" t="s">
        <v>0</v>
      </c>
      <c r="Q3" s="4" t="s">
        <v>18</v>
      </c>
      <c r="T3" s="3" t="s">
        <v>21</v>
      </c>
      <c r="U3" s="5" t="s">
        <v>0</v>
      </c>
      <c r="V3" s="4" t="s">
        <v>18</v>
      </c>
    </row>
    <row r="4" spans="2:22" x14ac:dyDescent="0.35">
      <c r="C4" s="6">
        <v>60</v>
      </c>
      <c r="D4" s="14">
        <v>334.7</v>
      </c>
      <c r="E4" s="7">
        <v>13.98</v>
      </c>
      <c r="F4" s="1"/>
      <c r="G4" s="1"/>
      <c r="I4" s="6">
        <v>10</v>
      </c>
      <c r="J4" s="2">
        <v>6974.1</v>
      </c>
      <c r="K4" s="8">
        <v>17.3</v>
      </c>
      <c r="L4" s="2"/>
      <c r="M4" s="2"/>
      <c r="O4" s="6">
        <v>10</v>
      </c>
      <c r="P4" s="2">
        <v>23.3</v>
      </c>
      <c r="Q4" s="8">
        <v>1.6</v>
      </c>
      <c r="T4" s="6">
        <v>10</v>
      </c>
      <c r="U4" s="19">
        <v>21166</v>
      </c>
      <c r="V4" s="7">
        <v>14.4</v>
      </c>
    </row>
    <row r="5" spans="2:22" x14ac:dyDescent="0.35">
      <c r="C5" s="6">
        <v>80</v>
      </c>
      <c r="D5" s="14">
        <v>695.2</v>
      </c>
      <c r="E5" s="7">
        <v>13.99</v>
      </c>
      <c r="F5" s="1"/>
      <c r="G5" s="1"/>
      <c r="I5" s="6">
        <v>20</v>
      </c>
      <c r="J5" s="2">
        <v>8424.1</v>
      </c>
      <c r="K5" s="8">
        <v>17.2</v>
      </c>
      <c r="L5" s="2"/>
      <c r="M5" s="2"/>
      <c r="O5" s="6">
        <v>20</v>
      </c>
      <c r="P5" s="2">
        <v>116.2</v>
      </c>
      <c r="Q5" s="8">
        <v>1.6</v>
      </c>
      <c r="T5" s="6">
        <v>20</v>
      </c>
      <c r="U5" s="19">
        <v>35676</v>
      </c>
      <c r="V5" s="7">
        <v>14.6</v>
      </c>
    </row>
    <row r="6" spans="2:22" x14ac:dyDescent="0.35">
      <c r="C6" s="6">
        <v>100</v>
      </c>
      <c r="D6" s="14">
        <v>1319.9</v>
      </c>
      <c r="E6" s="7">
        <v>13.9</v>
      </c>
      <c r="F6" s="1"/>
      <c r="G6" s="1"/>
      <c r="I6" s="6">
        <v>50</v>
      </c>
      <c r="J6" s="2">
        <v>12805.8</v>
      </c>
      <c r="K6" s="8">
        <v>17.2</v>
      </c>
      <c r="L6" s="2"/>
      <c r="M6" s="2"/>
      <c r="O6" s="6">
        <v>50</v>
      </c>
      <c r="P6" s="2">
        <v>298</v>
      </c>
      <c r="Q6" s="8">
        <v>1.6</v>
      </c>
      <c r="T6" s="6">
        <v>50</v>
      </c>
      <c r="U6" s="19">
        <v>57697</v>
      </c>
      <c r="V6" s="7">
        <v>14.4</v>
      </c>
    </row>
    <row r="7" spans="2:22" x14ac:dyDescent="0.35">
      <c r="C7" s="6">
        <v>120</v>
      </c>
      <c r="D7" s="14">
        <v>1617.2</v>
      </c>
      <c r="E7" s="7">
        <v>13.9</v>
      </c>
      <c r="F7" s="1"/>
      <c r="G7" s="1"/>
      <c r="I7" s="6">
        <v>75</v>
      </c>
      <c r="J7" s="1">
        <v>16246.2</v>
      </c>
      <c r="K7" s="7">
        <v>17.3</v>
      </c>
      <c r="L7" s="1"/>
      <c r="M7" s="1"/>
      <c r="O7" s="6">
        <v>75</v>
      </c>
      <c r="P7" s="1">
        <v>422.2</v>
      </c>
      <c r="Q7" s="8">
        <v>1.6</v>
      </c>
      <c r="T7" s="6">
        <v>75</v>
      </c>
      <c r="U7" s="19">
        <f>63547+11485</f>
        <v>75032</v>
      </c>
      <c r="V7" s="7">
        <v>14.4</v>
      </c>
    </row>
    <row r="8" spans="2:22" ht="15" thickBot="1" x14ac:dyDescent="0.4">
      <c r="C8" s="6">
        <v>140</v>
      </c>
      <c r="D8" s="14">
        <v>2243</v>
      </c>
      <c r="E8" s="7">
        <v>13.98</v>
      </c>
      <c r="F8" s="1"/>
      <c r="G8" s="1"/>
      <c r="I8" s="9">
        <v>100</v>
      </c>
      <c r="J8" s="10">
        <v>18584.900000000001</v>
      </c>
      <c r="K8" s="11">
        <v>17.100000000000001</v>
      </c>
      <c r="L8" s="1"/>
      <c r="M8" s="1"/>
      <c r="O8" s="9">
        <v>100</v>
      </c>
      <c r="P8" s="10">
        <v>545</v>
      </c>
      <c r="Q8" s="12">
        <v>1.6</v>
      </c>
      <c r="T8" s="9">
        <v>100</v>
      </c>
      <c r="U8" s="20">
        <v>85965</v>
      </c>
      <c r="V8" s="11">
        <v>14.4</v>
      </c>
    </row>
    <row r="9" spans="2:22" ht="15" thickBot="1" x14ac:dyDescent="0.4">
      <c r="C9" s="9">
        <v>500</v>
      </c>
      <c r="D9" s="10">
        <v>9728.7000000000007</v>
      </c>
      <c r="E9" s="11">
        <v>13.97</v>
      </c>
      <c r="F9" s="1"/>
      <c r="G9" s="1"/>
    </row>
    <row r="10" spans="2:22" x14ac:dyDescent="0.35">
      <c r="C10" s="14"/>
      <c r="D10" s="14"/>
      <c r="E10" s="14"/>
      <c r="F10" s="1"/>
      <c r="G10" s="1"/>
    </row>
    <row r="11" spans="2:22" x14ac:dyDescent="0.35">
      <c r="C11" s="33" t="s">
        <v>29</v>
      </c>
      <c r="D11" s="14"/>
      <c r="E11" s="14"/>
      <c r="F11" s="1"/>
      <c r="G11" s="1"/>
      <c r="I11" s="33" t="s">
        <v>30</v>
      </c>
      <c r="O11" s="33" t="s">
        <v>30</v>
      </c>
      <c r="T11" s="33" t="s">
        <v>30</v>
      </c>
    </row>
    <row r="14" spans="2:22" x14ac:dyDescent="0.35">
      <c r="B14" s="1"/>
    </row>
    <row r="15" spans="2:22" x14ac:dyDescent="0.35">
      <c r="B15" s="1"/>
    </row>
    <row r="16" spans="2:22" x14ac:dyDescent="0.35">
      <c r="B16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E186-0D7C-4EAF-AAE6-460456183375}">
  <dimension ref="A2:O24"/>
  <sheetViews>
    <sheetView workbookViewId="0">
      <selection activeCell="C30" sqref="C30"/>
    </sheetView>
  </sheetViews>
  <sheetFormatPr baseColWidth="10" defaultRowHeight="14.5" x14ac:dyDescent="0.35"/>
  <cols>
    <col min="2" max="2" width="16.453125" style="2" bestFit="1" customWidth="1"/>
    <col min="3" max="3" width="14.7265625" style="2" bestFit="1" customWidth="1"/>
  </cols>
  <sheetData>
    <row r="2" spans="1:15" x14ac:dyDescent="0.35">
      <c r="B2" s="32" t="s">
        <v>22</v>
      </c>
    </row>
    <row r="3" spans="1:15" ht="15" thickBot="1" x14ac:dyDescent="0.4"/>
    <row r="4" spans="1:15" ht="21" customHeight="1" thickBot="1" x14ac:dyDescent="0.4">
      <c r="A4" s="3" t="s">
        <v>12</v>
      </c>
      <c r="B4" s="5" t="s">
        <v>11</v>
      </c>
      <c r="C4" s="5" t="s">
        <v>23</v>
      </c>
      <c r="D4" s="5" t="s">
        <v>13</v>
      </c>
      <c r="E4" s="5" t="s">
        <v>13</v>
      </c>
      <c r="F4" s="5" t="s">
        <v>13</v>
      </c>
      <c r="G4" s="5" t="s">
        <v>1</v>
      </c>
      <c r="H4" s="5" t="s">
        <v>1</v>
      </c>
      <c r="I4" s="5" t="s">
        <v>1</v>
      </c>
      <c r="J4" s="5" t="s">
        <v>3</v>
      </c>
      <c r="K4" s="5" t="s">
        <v>3</v>
      </c>
      <c r="L4" s="5" t="s">
        <v>3</v>
      </c>
      <c r="M4" s="5" t="s">
        <v>4</v>
      </c>
      <c r="N4" s="5" t="s">
        <v>4</v>
      </c>
      <c r="O4" s="4" t="s">
        <v>4</v>
      </c>
    </row>
    <row r="5" spans="1:15" x14ac:dyDescent="0.35">
      <c r="A5" s="6" t="s">
        <v>5</v>
      </c>
      <c r="B5" s="14"/>
      <c r="C5" s="14">
        <v>72</v>
      </c>
      <c r="D5" s="28">
        <v>1863.8805970149253</v>
      </c>
      <c r="E5" s="28">
        <v>1902.2601279317694</v>
      </c>
      <c r="F5" s="28">
        <v>1842.5586353944564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9">
        <v>0</v>
      </c>
    </row>
    <row r="6" spans="1:15" x14ac:dyDescent="0.35">
      <c r="A6" s="6" t="s">
        <v>6</v>
      </c>
      <c r="B6" s="27" t="s">
        <v>14</v>
      </c>
      <c r="C6" s="14">
        <v>72</v>
      </c>
      <c r="D6" s="28">
        <v>1966.2260127931766</v>
      </c>
      <c r="E6" s="28">
        <v>2072.8358208955219</v>
      </c>
      <c r="F6" s="28">
        <v>1806.3113006396591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9">
        <v>0</v>
      </c>
    </row>
    <row r="7" spans="1:15" x14ac:dyDescent="0.35">
      <c r="A7" s="6" t="s">
        <v>6</v>
      </c>
      <c r="B7" s="27" t="s">
        <v>15</v>
      </c>
      <c r="C7" s="14">
        <v>72</v>
      </c>
      <c r="D7" s="28">
        <v>1541.9189765458423</v>
      </c>
      <c r="E7" s="28">
        <v>1373.4754797441365</v>
      </c>
      <c r="F7" s="28">
        <v>1442.7718550106611</v>
      </c>
      <c r="G7" s="28">
        <v>144.39242685025818</v>
      </c>
      <c r="H7" s="28">
        <v>189.71658060814684</v>
      </c>
      <c r="I7" s="28">
        <v>126.60699942627654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9">
        <v>0</v>
      </c>
    </row>
    <row r="8" spans="1:15" ht="15" thickBot="1" x14ac:dyDescent="0.4">
      <c r="A8" s="9" t="s">
        <v>6</v>
      </c>
      <c r="B8" s="10" t="s">
        <v>16</v>
      </c>
      <c r="C8" s="10">
        <v>72</v>
      </c>
      <c r="D8" s="30">
        <v>1190.1066098081023</v>
      </c>
      <c r="E8" s="30">
        <v>1310.5756929637528</v>
      </c>
      <c r="F8" s="30">
        <v>1375.6076759061832</v>
      </c>
      <c r="G8" s="30">
        <v>110.54274239816409</v>
      </c>
      <c r="H8" s="30">
        <v>151.85083189902466</v>
      </c>
      <c r="I8" s="30">
        <v>85.298909925415941</v>
      </c>
      <c r="J8" s="30">
        <v>8359.4666666666672</v>
      </c>
      <c r="K8" s="30">
        <v>9411.4666666666672</v>
      </c>
      <c r="L8" s="30">
        <v>7979.4666666666672</v>
      </c>
      <c r="M8" s="30">
        <v>40815.000000000007</v>
      </c>
      <c r="N8" s="30">
        <v>43957.857142857138</v>
      </c>
      <c r="O8" s="31">
        <v>37957.857142857145</v>
      </c>
    </row>
    <row r="11" spans="1:15" x14ac:dyDescent="0.35">
      <c r="B11" s="32" t="s">
        <v>27</v>
      </c>
    </row>
    <row r="12" spans="1:15" ht="15" thickBot="1" x14ac:dyDescent="0.4"/>
    <row r="13" spans="1:15" ht="19.5" customHeight="1" thickBot="1" x14ac:dyDescent="0.4">
      <c r="A13" s="3" t="s">
        <v>12</v>
      </c>
      <c r="B13" s="5" t="s">
        <v>11</v>
      </c>
      <c r="C13" s="5" t="s">
        <v>23</v>
      </c>
      <c r="D13" s="5" t="s">
        <v>13</v>
      </c>
      <c r="E13" s="5" t="s">
        <v>13</v>
      </c>
      <c r="F13" s="5" t="s">
        <v>13</v>
      </c>
      <c r="G13" s="5" t="s">
        <v>1</v>
      </c>
      <c r="H13" s="5" t="s">
        <v>1</v>
      </c>
      <c r="I13" s="5" t="s">
        <v>1</v>
      </c>
      <c r="J13" s="5" t="s">
        <v>3</v>
      </c>
      <c r="K13" s="5" t="s">
        <v>3</v>
      </c>
      <c r="L13" s="5" t="s">
        <v>3</v>
      </c>
      <c r="M13" s="5" t="s">
        <v>4</v>
      </c>
      <c r="N13" s="5" t="s">
        <v>4</v>
      </c>
      <c r="O13" s="4" t="s">
        <v>4</v>
      </c>
    </row>
    <row r="14" spans="1:15" x14ac:dyDescent="0.35">
      <c r="A14" s="21" t="s">
        <v>7</v>
      </c>
      <c r="B14" s="19" t="s">
        <v>24</v>
      </c>
      <c r="C14" s="19">
        <v>24</v>
      </c>
      <c r="D14" s="15">
        <v>1738.0810234541577</v>
      </c>
      <c r="E14" s="15">
        <v>1840.4264392324096</v>
      </c>
      <c r="F14" s="15">
        <v>1761.5351812366737</v>
      </c>
      <c r="G14" s="15">
        <v>41.122203098106709</v>
      </c>
      <c r="H14" s="15">
        <v>52.596672403901316</v>
      </c>
      <c r="I14" s="15">
        <v>81.282845668387836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6">
        <v>0</v>
      </c>
    </row>
    <row r="15" spans="1:15" x14ac:dyDescent="0.35">
      <c r="A15" s="21" t="s">
        <v>7</v>
      </c>
      <c r="B15" s="19" t="s">
        <v>25</v>
      </c>
      <c r="C15" s="19">
        <v>48</v>
      </c>
      <c r="D15" s="15">
        <v>1441.7057569296373</v>
      </c>
      <c r="E15" s="15">
        <v>1326.5671641791046</v>
      </c>
      <c r="F15" s="15">
        <v>1373.4754797441365</v>
      </c>
      <c r="G15" s="15">
        <v>25.057946069994262</v>
      </c>
      <c r="H15" s="15">
        <v>20.582903040734365</v>
      </c>
      <c r="I15" s="15">
        <v>31.426276534710265</v>
      </c>
      <c r="J15" s="15">
        <v>8712.8000000000011</v>
      </c>
      <c r="K15" s="15">
        <v>9406.1333333333332</v>
      </c>
      <c r="L15" s="15">
        <v>9086.1333333333332</v>
      </c>
      <c r="M15" s="15">
        <v>50522.142857142855</v>
      </c>
      <c r="N15" s="15">
        <v>55243.571428571428</v>
      </c>
      <c r="O15" s="16">
        <v>56029.285714285717</v>
      </c>
    </row>
    <row r="16" spans="1:15" ht="15" thickBot="1" x14ac:dyDescent="0.4">
      <c r="A16" s="22" t="s">
        <v>7</v>
      </c>
      <c r="B16" s="20" t="s">
        <v>26</v>
      </c>
      <c r="C16" s="20">
        <v>72</v>
      </c>
      <c r="D16" s="17">
        <v>964.09381663113015</v>
      </c>
      <c r="E16" s="17">
        <v>821.23667377398726</v>
      </c>
      <c r="F16" s="17">
        <v>774.32835820895514</v>
      </c>
      <c r="G16" s="17">
        <v>53.170395869191054</v>
      </c>
      <c r="H16" s="17">
        <v>60.399311531841647</v>
      </c>
      <c r="I16" s="17">
        <v>71.529546758462416</v>
      </c>
      <c r="J16" s="17">
        <v>11514.133333333333</v>
      </c>
      <c r="K16" s="17">
        <v>12339.466666666665</v>
      </c>
      <c r="L16" s="17">
        <v>12432.800000000001</v>
      </c>
      <c r="M16" s="17">
        <v>69743.57142857142</v>
      </c>
      <c r="N16" s="17">
        <v>79029.28571428571</v>
      </c>
      <c r="O16" s="18">
        <v>81029.28571428571</v>
      </c>
    </row>
    <row r="19" spans="1:15" x14ac:dyDescent="0.35">
      <c r="B19" s="32" t="s">
        <v>28</v>
      </c>
    </row>
    <row r="20" spans="1:15" ht="15" thickBot="1" x14ac:dyDescent="0.4"/>
    <row r="21" spans="1:15" ht="15" thickBot="1" x14ac:dyDescent="0.4">
      <c r="A21" s="23" t="s">
        <v>12</v>
      </c>
      <c r="B21" s="26" t="s">
        <v>11</v>
      </c>
      <c r="C21" s="5" t="s">
        <v>23</v>
      </c>
      <c r="D21" s="24" t="s">
        <v>2</v>
      </c>
      <c r="E21" s="24" t="s">
        <v>2</v>
      </c>
      <c r="F21" s="24" t="s">
        <v>2</v>
      </c>
      <c r="G21" s="24" t="s">
        <v>1</v>
      </c>
      <c r="H21" s="24" t="s">
        <v>1</v>
      </c>
      <c r="I21" s="24" t="s">
        <v>1</v>
      </c>
      <c r="J21" s="24" t="s">
        <v>3</v>
      </c>
      <c r="K21" s="24" t="s">
        <v>3</v>
      </c>
      <c r="L21" s="24" t="s">
        <v>3</v>
      </c>
      <c r="M21" s="24" t="s">
        <v>4</v>
      </c>
      <c r="N21" s="24" t="s">
        <v>4</v>
      </c>
      <c r="O21" s="25" t="s">
        <v>4</v>
      </c>
    </row>
    <row r="22" spans="1:15" x14ac:dyDescent="0.35">
      <c r="A22" s="21" t="s">
        <v>8</v>
      </c>
      <c r="B22" s="19" t="s">
        <v>24</v>
      </c>
      <c r="C22" s="19">
        <v>72</v>
      </c>
      <c r="D22" s="15">
        <v>375.60767590618337</v>
      </c>
      <c r="E22" s="15">
        <v>300.98081023454159</v>
      </c>
      <c r="F22" s="15">
        <v>1.7164179104477</v>
      </c>
      <c r="G22" s="15">
        <v>344.62191623637403</v>
      </c>
      <c r="H22" s="15">
        <v>380.76649454962711</v>
      </c>
      <c r="I22" s="15">
        <v>294.70797475616746</v>
      </c>
      <c r="J22" s="15">
        <v>8432.7999999999993</v>
      </c>
      <c r="K22" s="15">
        <v>9246.133333333335</v>
      </c>
      <c r="L22" s="15">
        <v>7766.1333333333332</v>
      </c>
      <c r="M22" s="15">
        <v>43672.142857142862</v>
      </c>
      <c r="N22" s="15">
        <v>47315</v>
      </c>
      <c r="O22" s="16">
        <v>37957.857142857145</v>
      </c>
    </row>
    <row r="23" spans="1:15" x14ac:dyDescent="0.35">
      <c r="A23" s="21" t="s">
        <v>9</v>
      </c>
      <c r="B23" s="19" t="s">
        <v>24</v>
      </c>
      <c r="C23" s="19">
        <v>72</v>
      </c>
      <c r="D23" s="15">
        <v>16.451274999999999</v>
      </c>
      <c r="E23" s="15">
        <v>31.42145</v>
      </c>
      <c r="F23" s="15">
        <v>23.451350000000001</v>
      </c>
      <c r="G23" s="15">
        <v>403.14170969592652</v>
      </c>
      <c r="H23" s="15">
        <v>362.98106712564538</v>
      </c>
      <c r="I23" s="15">
        <v>413.46873207114169</v>
      </c>
      <c r="J23" s="15">
        <v>12432.800000000001</v>
      </c>
      <c r="K23" s="15">
        <v>13366.133333333335</v>
      </c>
      <c r="L23" s="15">
        <v>12699.466666666669</v>
      </c>
      <c r="M23" s="15">
        <v>82243.57142857142</v>
      </c>
      <c r="N23" s="15">
        <v>80886.428571428565</v>
      </c>
      <c r="O23" s="16">
        <v>78100.714285714275</v>
      </c>
    </row>
    <row r="24" spans="1:15" ht="15" thickBot="1" x14ac:dyDescent="0.4">
      <c r="A24" s="22" t="s">
        <v>10</v>
      </c>
      <c r="B24" s="20" t="s">
        <v>24</v>
      </c>
      <c r="C24" s="20">
        <v>72</v>
      </c>
      <c r="D24" s="17">
        <v>2.4156469999999999</v>
      </c>
      <c r="E24" s="17">
        <v>3.4567809999999999</v>
      </c>
      <c r="F24" s="17">
        <v>6.4571285999999999</v>
      </c>
      <c r="G24" s="17">
        <v>294.70797475616746</v>
      </c>
      <c r="H24" s="17">
        <v>327.41021227768215</v>
      </c>
      <c r="I24" s="17">
        <v>259.13711990820423</v>
      </c>
      <c r="J24" s="17">
        <v>16886.133333333331</v>
      </c>
      <c r="K24" s="17">
        <v>17100.8</v>
      </c>
      <c r="L24" s="17">
        <v>16419.466666666667</v>
      </c>
      <c r="M24" s="17">
        <v>104600.71428571429</v>
      </c>
      <c r="N24" s="17">
        <v>93743.571428571435</v>
      </c>
      <c r="O24" s="18">
        <v>103243.57142857142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Pattern Curves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Villegas Plazas</dc:creator>
  <cp:lastModifiedBy>Marcela Villegas Plazas</cp:lastModifiedBy>
  <cp:lastPrinted>2023-02-21T13:10:28Z</cp:lastPrinted>
  <dcterms:created xsi:type="dcterms:W3CDTF">2023-02-21T13:06:24Z</dcterms:created>
  <dcterms:modified xsi:type="dcterms:W3CDTF">2026-06-23T09:52:33Z</dcterms:modified>
</cp:coreProperties>
</file>